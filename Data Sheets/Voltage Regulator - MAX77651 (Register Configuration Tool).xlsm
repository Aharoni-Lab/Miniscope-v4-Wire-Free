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filterPrivacy="1" codeName="ThisWorkbook"/>
  <xr:revisionPtr revIDLastSave="411" documentId="13_ncr:1_{F30ED08B-0555-4577-9D60-CC80841B2667}" xr6:coauthVersionLast="40" xr6:coauthVersionMax="40" xr10:uidLastSave="{7C18DC39-78D2-4B79-8C16-8D61DC865624}"/>
  <bookViews>
    <workbookView xWindow="-108" yWindow="-13068" windowWidth="23256" windowHeight="12576" xr2:uid="{00000000-000D-0000-FFFF-FFFF00000000}"/>
  </bookViews>
  <sheets>
    <sheet name="Sheet1" sheetId="1" r:id="rId1"/>
    <sheet name="Sheet2" sheetId="2" state="hidden" r:id="rId2"/>
  </sheets>
  <definedNames>
    <definedName name="ICHGIN">Sheet2!$B$2:$B$6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<sst xmlns="http://schemas.openxmlformats.org/spreadsheetml/2006/main" count="263" uniqueCount="206">
  <si>
    <t>MAX77650</t>
  </si>
  <si>
    <t>Software Reset</t>
  </si>
  <si>
    <t>nEN Pin Debounce Timer</t>
  </si>
  <si>
    <t>nEN Input Default Configuration</t>
  </si>
  <si>
    <t>Main Bias Enable Controller</t>
  </si>
  <si>
    <t>Main Bias Low Power Mode</t>
  </si>
  <si>
    <t>Global
Interruputs</t>
  </si>
  <si>
    <t>GPI Falling</t>
  </si>
  <si>
    <t>GPI Rising</t>
  </si>
  <si>
    <t>nEN Falling</t>
  </si>
  <si>
    <t>nEN Rising</t>
  </si>
  <si>
    <t xml:space="preserve">LDO Dropout </t>
  </si>
  <si>
    <t>Thermal Alarm 1</t>
  </si>
  <si>
    <t>Thermal Alarm 2</t>
  </si>
  <si>
    <t>Charger
Interruputs</t>
  </si>
  <si>
    <t>Thermistor</t>
  </si>
  <si>
    <t>Charger</t>
  </si>
  <si>
    <t>CHGIN</t>
  </si>
  <si>
    <t>Die Junction Temperture</t>
  </si>
  <si>
    <t>CHGIN Control</t>
  </si>
  <si>
    <t>VSYS Control</t>
  </si>
  <si>
    <t>GPIO</t>
  </si>
  <si>
    <t>GPIO Direction</t>
  </si>
  <si>
    <t>GPO Driver Type</t>
  </si>
  <si>
    <t>GPO Data Output Value</t>
  </si>
  <si>
    <t>SIMO 
Buck-Boost</t>
  </si>
  <si>
    <t>TOP Configuration</t>
  </si>
  <si>
    <t>Step1</t>
  </si>
  <si>
    <t>Prequal Charger Current</t>
  </si>
  <si>
    <t>ICHGIN Limit</t>
  </si>
  <si>
    <t>Minimum VCHGIN</t>
  </si>
  <si>
    <t>Step2</t>
  </si>
  <si>
    <t>Top-Off Timer Length</t>
  </si>
  <si>
    <t>Termination Current Threshold</t>
  </si>
  <si>
    <t>Battery Prequal Voltage Threshold</t>
  </si>
  <si>
    <t>Step3</t>
  </si>
  <si>
    <t>Fast-Charge Safety Timer</t>
  </si>
  <si>
    <t>Step4</t>
  </si>
  <si>
    <t>Step5</t>
  </si>
  <si>
    <t>USB Suspend Mode</t>
  </si>
  <si>
    <t>Discharge Current Full Scale</t>
  </si>
  <si>
    <t>JEITA T1(Cold)</t>
  </si>
  <si>
    <t>JEITA T2(Cool)</t>
  </si>
  <si>
    <t>JEITA T3(Warm)</t>
  </si>
  <si>
    <t>JEITA T4(Hot)</t>
  </si>
  <si>
    <t>Channel</t>
  </si>
  <si>
    <t>SBB0</t>
  </si>
  <si>
    <t>SBB1</t>
  </si>
  <si>
    <t>SBB2</t>
  </si>
  <si>
    <t>Drive Strength Trim</t>
  </si>
  <si>
    <t>Peak Current Limit</t>
  </si>
  <si>
    <t>Enable Control</t>
  </si>
  <si>
    <t>Active-Discharge</t>
  </si>
  <si>
    <t>LDO</t>
  </si>
  <si>
    <t>LED Driver</t>
  </si>
  <si>
    <t>LED0</t>
  </si>
  <si>
    <t>LED1</t>
  </si>
  <si>
    <t>LED2</t>
  </si>
  <si>
    <t>Invert</t>
  </si>
  <si>
    <t>Duty Cycle</t>
  </si>
  <si>
    <t>Period</t>
  </si>
  <si>
    <t>Output</t>
  </si>
  <si>
    <t>Address</t>
  </si>
  <si>
    <t>Data</t>
  </si>
  <si>
    <t>Global
Resources</t>
  </si>
  <si>
    <t>Interruput
Mask/Unmask</t>
  </si>
  <si>
    <t>GPI Debounce Timer</t>
  </si>
  <si>
    <t>VSYS Configuration Error</t>
  </si>
  <si>
    <t>AMUX Selection</t>
  </si>
  <si>
    <t>Disable</t>
  </si>
  <si>
    <t>FPS Slot 0</t>
  </si>
  <si>
    <t>VSYS Regulation(4.100V-4.800V)</t>
  </si>
  <si>
    <t>95mA(ICHGIN_LIM_DEF=0)|475mA(ICHGIN_LIM_DEF=1)</t>
  </si>
  <si>
    <t>190mA(ICHGIN_LIM_DEF=0)|475mA(ICHGIN_LIM_DEF=1)</t>
  </si>
  <si>
    <t>285mA(ICHGIN_LIM_DEF=0)|475mA(ICHGIN_LIM_DEF=1)</t>
  </si>
  <si>
    <t>380mA(ICHGIN_LIM_DEF=0)|475mA(ICHGIN_LIM_DEF=1)</t>
  </si>
  <si>
    <t>475mA(ICHGIN_LIM_DEF=0)|95mA(ICHGIN_LIM_DEF=1)</t>
  </si>
  <si>
    <t>ICHGIN</t>
  </si>
  <si>
    <t>Fast-Charge Current(7.5mA-300.0mA)</t>
  </si>
  <si>
    <t>JEITA-Modified IFAST_CHG(7.5mA-300.0mA)</t>
  </si>
  <si>
    <t>Enable</t>
  </si>
  <si>
    <t>Fast-Charge Voltage(3.6V-4.6V)</t>
  </si>
  <si>
    <t>VFAST_CHG JEITA(3.6V-4.6V)</t>
  </si>
  <si>
    <t>Target Output Voltage(1.3500V-2.9375V)</t>
  </si>
  <si>
    <t>Brightness(0%-100%)</t>
  </si>
  <si>
    <t>Register Name</t>
  </si>
  <si>
    <t>CNFG_GLBL</t>
  </si>
  <si>
    <t>INTM_GLBL</t>
  </si>
  <si>
    <t>CNFG_GPIO</t>
  </si>
  <si>
    <t>INT_M_CHG</t>
  </si>
  <si>
    <t>CNFG_CHG_A</t>
  </si>
  <si>
    <t>CNFG_CHG_B</t>
  </si>
  <si>
    <t>CNFG_CHG_C</t>
  </si>
  <si>
    <t>CNFG_CHG_D</t>
  </si>
  <si>
    <t>CNFG_CHG_E</t>
  </si>
  <si>
    <t>CNFG_CHG_F</t>
  </si>
  <si>
    <t>CNFG_CHG_G</t>
  </si>
  <si>
    <t>CNFG_CHG_H</t>
  </si>
  <si>
    <t>CNFG_CHG_I</t>
  </si>
  <si>
    <t>CNFG_LDO_A</t>
  </si>
  <si>
    <t>CNFG_LDO_B</t>
  </si>
  <si>
    <t>CNFG_SBB_TOP</t>
  </si>
  <si>
    <t>CNFG_SBB0_A</t>
  </si>
  <si>
    <t>CNFG_SBB0_B</t>
  </si>
  <si>
    <t>CNFG_SBB1_A</t>
  </si>
  <si>
    <t>CNFG_SBB2_B</t>
  </si>
  <si>
    <t>CNFG_SBB2_A</t>
  </si>
  <si>
    <t>CNFG_LED0_A</t>
  </si>
  <si>
    <t>CNFG_LED0_B</t>
  </si>
  <si>
    <t>CNFG_LED1_A</t>
  </si>
  <si>
    <t>CNFG_LED1_B</t>
  </si>
  <si>
    <t>CNFG_LED2_A</t>
  </si>
  <si>
    <t>CNFG_LED2_B</t>
  </si>
  <si>
    <t>CNFG_LED_TOP</t>
  </si>
  <si>
    <t>0x06</t>
  </si>
  <si>
    <t>0x07</t>
  </si>
  <si>
    <t>0x10</t>
  </si>
  <si>
    <t>0x12</t>
  </si>
  <si>
    <t>0x18</t>
  </si>
  <si>
    <t>0x19</t>
  </si>
  <si>
    <t>0x1A</t>
  </si>
  <si>
    <t>0x1B</t>
  </si>
  <si>
    <t>0x1C</t>
  </si>
  <si>
    <t>0x46</t>
  </si>
  <si>
    <t>0x45</t>
  </si>
  <si>
    <t>0x44</t>
  </si>
  <si>
    <t>0x43</t>
  </si>
  <si>
    <t>0x42</t>
  </si>
  <si>
    <t>0x41</t>
  </si>
  <si>
    <t>0x40</t>
  </si>
  <si>
    <t>0x39</t>
  </si>
  <si>
    <t>0x38</t>
  </si>
  <si>
    <t>0x2E</t>
  </si>
  <si>
    <t>0x2D</t>
  </si>
  <si>
    <t>0x2C</t>
  </si>
  <si>
    <t>0x2B</t>
  </si>
  <si>
    <t>0x2A</t>
  </si>
  <si>
    <t>0x29</t>
  </si>
  <si>
    <t>0x28</t>
  </si>
  <si>
    <t>0x20</t>
  </si>
  <si>
    <t>0x1F</t>
  </si>
  <si>
    <t>0x1E</t>
  </si>
  <si>
    <t>0x1D</t>
  </si>
  <si>
    <t>Disabled</t>
  </si>
  <si>
    <t>Open-Drain</t>
  </si>
  <si>
    <t>Logic Low</t>
  </si>
  <si>
    <t>0 ms(No Debounce)</t>
  </si>
  <si>
    <t>Mask</t>
  </si>
  <si>
    <t>4.0V</t>
  </si>
  <si>
    <t>0min</t>
  </si>
  <si>
    <t>CHGIN Not Suspended</t>
  </si>
  <si>
    <t>OFF</t>
  </si>
  <si>
    <t>In-Phase Operation</t>
  </si>
  <si>
    <t>0.5s</t>
  </si>
  <si>
    <t>CNFG_SBB1_B</t>
  </si>
  <si>
    <r>
      <t>Notes:1.</t>
    </r>
    <r>
      <rPr>
        <sz val="11"/>
        <color rgb="FFFF0000"/>
        <rFont val="Calibri"/>
        <family val="2"/>
        <scheme val="minor"/>
      </rPr>
      <t>Target Output Voltage:</t>
    </r>
    <r>
      <rPr>
        <sz val="11"/>
        <rFont val="Calibri"/>
        <family val="2"/>
        <scheme val="minor"/>
      </rPr>
      <t>SBB0: From 0.800V to 2.375V. SBB1: From 0.8000V to 1.5875V. SBB2: From 0.80V to 3.75V.  
               The letters will turn red if the input is out of range.</t>
    </r>
    <r>
      <rPr>
        <sz val="11"/>
        <color theme="1"/>
        <rFont val="Calibri"/>
        <family val="2"/>
        <scheme val="minor"/>
      </rPr>
      <t xml:space="preserve">
             2.The values to be entered in the table can only be entered as numeric values, no units need to be entered.
             3.</t>
    </r>
    <r>
      <rPr>
        <sz val="11"/>
        <color rgb="FFFF0000"/>
        <rFont val="Calibri"/>
        <family val="2"/>
        <scheme val="minor"/>
      </rPr>
      <t>The file named 'MAX77650 Configuration.txt' will be generated under the current directory.If the file already exists, it will be overwritten.</t>
    </r>
  </si>
  <si>
    <r>
      <t>Target Output Voltage</t>
    </r>
    <r>
      <rPr>
        <vertAlign val="superscript"/>
        <sz val="11"/>
        <color theme="1"/>
        <rFont val="Calibri"/>
        <family val="2"/>
        <scheme val="minor"/>
      </rPr>
      <t>1</t>
    </r>
  </si>
  <si>
    <t>Die Junction Temperature Point</t>
  </si>
  <si>
    <t>Master LED Driver Enable</t>
  </si>
  <si>
    <t>Full Scale Current</t>
  </si>
  <si>
    <t>15.0% of IFAST_CHG</t>
  </si>
  <si>
    <t>3.0V</t>
  </si>
  <si>
    <t>0.511V(35°C for β = 3380K)</t>
  </si>
  <si>
    <t>Push-Button Mode</t>
  </si>
  <si>
    <t>0.867V(5°C for β = 3380K)</t>
  </si>
  <si>
    <t>0.747V(15°C for β = 3380K)</t>
  </si>
  <si>
    <t>0.411V(45°C for β = 3380K)</t>
  </si>
  <si>
    <t>0x0=95mA(ICHGIN_LIM_DEF=0)|475mA(ICHGIN_LIM_DEF=1)</t>
  </si>
  <si>
    <t>3 hours</t>
  </si>
  <si>
    <t>300.0mA</t>
  </si>
  <si>
    <t>On/Off Controller</t>
  </si>
  <si>
    <t>No Action</t>
  </si>
  <si>
    <t>100us</t>
  </si>
  <si>
    <t>Input</t>
  </si>
  <si>
    <t>0.500A</t>
  </si>
  <si>
    <t>FPS Slot 3</t>
  </si>
  <si>
    <t>FPS Slot 1</t>
  </si>
  <si>
    <t>0x1=Slower Than 0x0</t>
  </si>
  <si>
    <t>Charger Enable</t>
  </si>
  <si>
    <t>0.459V(40°C for β = 3380K)</t>
  </si>
  <si>
    <t>JEITA T1 (Cold)</t>
  </si>
  <si>
    <t>1.024V(-10°C for β = 3380K)</t>
  </si>
  <si>
    <t>0.976V(-5°C for β = 3380K)</t>
  </si>
  <si>
    <t>0.923V(0°C for β = 3380K)</t>
  </si>
  <si>
    <t>JEITA T2 (Cool)</t>
  </si>
  <si>
    <t>0.807V(10°C for β = 3380K)</t>
  </si>
  <si>
    <t>JEITA T3 (Warm)</t>
  </si>
  <si>
    <t>JEITA T4 (Hot)</t>
  </si>
  <si>
    <t>0.367V(50°C for β = 3380K)</t>
  </si>
  <si>
    <t>0.327V(55°C for β = 3380K)</t>
  </si>
  <si>
    <t>0.291V(60°C for β = 3380K)</t>
  </si>
  <si>
    <t>0x00</t>
  </si>
  <si>
    <t>0x01</t>
  </si>
  <si>
    <t>0xFF</t>
  </si>
  <si>
    <t>0xF8</t>
  </si>
  <si>
    <t>0x05</t>
  </si>
  <si>
    <t>0x04</t>
  </si>
  <si>
    <t>0xF0</t>
  </si>
  <si>
    <t>0x09</t>
  </si>
  <si>
    <t>0xF2</t>
  </si>
  <si>
    <t>0x08</t>
  </si>
  <si>
    <t>0xE0</t>
  </si>
  <si>
    <t>0x0B</t>
  </si>
  <si>
    <t>0x0F</t>
  </si>
  <si>
    <t>0x0D</t>
  </si>
  <si>
    <t>60¡ãC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</si>
</sst>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67" formatCode="0.000%"/>
  </numFmts>
  <fonts count="1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name val="Calibri"/>
      <family val="3"/>
      <charset val="134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</cellStyleXfs>
  <cellXfs count="71">
    <xf numFmtId="0" fontId="0" fillId="0" borderId="0" xfId="0"/>
    <xf numFmtId="0" fontId="4" fillId="7" borderId="1" xfId="6" applyFont="1" applyBorder="1" applyAlignment="1">
      <alignment horizontal="center" vertical="center"/>
    </xf>
    <xf numFmtId="0" fontId="4" fillId="4" borderId="1" xfId="3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4" borderId="1" xfId="3" applyFont="1" applyBorder="1" applyAlignment="1">
      <alignment horizontal="center" vertical="center" wrapText="1"/>
    </xf>
    <xf numFmtId="0" fontId="0" fillId="6" borderId="1" xfId="5" applyFont="1" applyBorder="1" applyAlignment="1">
      <alignment horizontal="center" vertical="center"/>
    </xf>
    <xf numFmtId="0" fontId="0" fillId="6" borderId="7" xfId="5" applyFont="1" applyBorder="1" applyAlignment="1">
      <alignment horizontal="center" vertical="center"/>
    </xf>
    <xf numFmtId="0" fontId="0" fillId="6" borderId="15" xfId="5" applyFont="1" applyBorder="1" applyAlignment="1">
      <alignment horizontal="center" vertical="center"/>
    </xf>
    <xf numFmtId="0" fontId="0" fillId="6" borderId="16" xfId="5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3" fillId="3" borderId="1" xfId="2" applyBorder="1" applyAlignment="1">
      <alignment horizontal="center" vertical="center"/>
    </xf>
    <xf numFmtId="0" fontId="0" fillId="3" borderId="1" xfId="2" applyFont="1" applyBorder="1" applyAlignment="1">
      <alignment horizontal="center" vertical="center"/>
    </xf>
    <xf numFmtId="0" fontId="10" fillId="0" borderId="1" xfId="0" applyFont="1" applyBorder="1" applyAlignment="1" applyProtection="1">
      <alignment horizontal="center" vertical="center"/>
      <protection locked="0"/>
    </xf>
    <xf numFmtId="0" fontId="4" fillId="3" borderId="1" xfId="2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  <xf numFmtId="0" fontId="5" fillId="2" borderId="1" xfId="1" applyFont="1" applyBorder="1" applyAlignment="1">
      <alignment horizontal="center" vertical="center"/>
    </xf>
    <xf numFmtId="164" fontId="0" fillId="0" borderId="1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0" fontId="0" fillId="0" borderId="2" xfId="0" applyNumberFormat="1" applyBorder="1" applyAlignment="1" applyProtection="1">
      <alignment horizontal="center" vertical="center"/>
      <protection locked="0"/>
    </xf>
    <xf numFmtId="0" fontId="5" fillId="2" borderId="6" xfId="1" applyFont="1" applyBorder="1" applyAlignment="1">
      <alignment horizontal="center" vertical="center"/>
    </xf>
    <xf numFmtId="0" fontId="1" fillId="2" borderId="8" xfId="1" applyBorder="1" applyAlignment="1">
      <alignment horizontal="center" vertical="center"/>
    </xf>
    <xf numFmtId="0" fontId="1" fillId="2" borderId="7" xfId="1" applyBorder="1" applyAlignment="1">
      <alignment horizontal="center" vertical="center"/>
    </xf>
    <xf numFmtId="0" fontId="4" fillId="4" borderId="10" xfId="3" applyFont="1" applyBorder="1" applyAlignment="1">
      <alignment horizontal="center" vertical="center"/>
    </xf>
    <xf numFmtId="0" fontId="3" fillId="4" borderId="12" xfId="3" applyBorder="1" applyAlignment="1">
      <alignment horizontal="center" vertical="center"/>
    </xf>
    <xf numFmtId="0" fontId="3" fillId="4" borderId="9" xfId="3" applyBorder="1" applyAlignment="1">
      <alignment horizontal="center" vertical="center"/>
    </xf>
    <xf numFmtId="0" fontId="3" fillId="4" borderId="14" xfId="3" applyBorder="1" applyAlignment="1">
      <alignment horizontal="center" vertical="center"/>
    </xf>
    <xf numFmtId="0" fontId="4" fillId="4" borderId="6" xfId="3" applyFont="1" applyBorder="1" applyAlignment="1">
      <alignment horizontal="center" vertical="center" wrapText="1"/>
    </xf>
    <xf numFmtId="0" fontId="4" fillId="4" borderId="8" xfId="3" applyFont="1" applyBorder="1" applyAlignment="1">
      <alignment horizontal="center" vertical="center" wrapText="1"/>
    </xf>
    <xf numFmtId="0" fontId="4" fillId="4" borderId="7" xfId="3" applyFont="1" applyBorder="1" applyAlignment="1">
      <alignment horizontal="center" vertical="center" wrapText="1"/>
    </xf>
    <xf numFmtId="167" fontId="0" fillId="0" borderId="2" xfId="0" applyNumberFormat="1" applyBorder="1" applyAlignment="1" applyProtection="1">
      <alignment horizontal="center" vertical="center"/>
      <protection locked="0"/>
    </xf>
    <xf numFmtId="167" fontId="0" fillId="0" borderId="3" xfId="0" applyNumberFormat="1" applyBorder="1" applyAlignment="1" applyProtection="1">
      <alignment horizontal="center" vertical="center"/>
      <protection locked="0"/>
    </xf>
    <xf numFmtId="167" fontId="0" fillId="0" borderId="4" xfId="0" applyNumberFormat="1" applyBorder="1" applyAlignment="1" applyProtection="1">
      <alignment horizontal="center" vertical="center"/>
      <protection locked="0"/>
    </xf>
    <xf numFmtId="0" fontId="0" fillId="3" borderId="2" xfId="2" applyFont="1" applyBorder="1" applyAlignment="1">
      <alignment horizontal="center" vertical="center"/>
    </xf>
    <xf numFmtId="0" fontId="3" fillId="3" borderId="3" xfId="2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4" fillId="4" borderId="1" xfId="3" applyFont="1" applyBorder="1" applyAlignment="1">
      <alignment horizontal="center" vertical="center"/>
    </xf>
    <xf numFmtId="0" fontId="0" fillId="3" borderId="2" xfId="2" applyFont="1" applyBorder="1" applyAlignment="1">
      <alignment horizontal="center" vertical="center" wrapText="1"/>
    </xf>
    <xf numFmtId="0" fontId="0" fillId="3" borderId="3" xfId="2" applyFont="1" applyBorder="1" applyAlignment="1">
      <alignment horizontal="center" vertical="center" wrapText="1"/>
    </xf>
    <xf numFmtId="0" fontId="0" fillId="3" borderId="4" xfId="2" applyFont="1" applyBorder="1" applyAlignment="1">
      <alignment horizontal="center" vertical="center" wrapText="1"/>
    </xf>
    <xf numFmtId="165" fontId="0" fillId="0" borderId="1" xfId="0" applyNumberFormat="1" applyBorder="1" applyAlignment="1" applyProtection="1">
      <alignment horizontal="center" vertical="center"/>
      <protection locked="0"/>
    </xf>
    <xf numFmtId="166" fontId="10" fillId="0" borderId="2" xfId="0" applyNumberFormat="1" applyFont="1" applyBorder="1" applyAlignment="1" applyProtection="1">
      <alignment horizontal="center" vertical="center"/>
      <protection locked="0"/>
    </xf>
    <xf numFmtId="166" fontId="0" fillId="0" borderId="3" xfId="0" applyNumberFormat="1" applyBorder="1" applyAlignment="1" applyProtection="1">
      <alignment horizontal="center" vertical="center"/>
      <protection locked="0"/>
    </xf>
    <xf numFmtId="166" fontId="0" fillId="0" borderId="4" xfId="0" applyNumberFormat="1" applyBorder="1" applyAlignment="1" applyProtection="1">
      <alignment horizontal="center" vertical="center"/>
      <protection locked="0"/>
    </xf>
    <xf numFmtId="164" fontId="10" fillId="0" borderId="1" xfId="0" applyNumberFormat="1" applyFont="1" applyBorder="1" applyAlignment="1" applyProtection="1">
      <alignment horizontal="center" vertical="center"/>
      <protection locked="0"/>
    </xf>
    <xf numFmtId="166" fontId="10" fillId="0" borderId="1" xfId="0" applyNumberFormat="1" applyFont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2" fontId="10" fillId="0" borderId="1" xfId="0" applyNumberFormat="1" applyFon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3" fillId="4" borderId="1" xfId="3" applyBorder="1" applyAlignment="1">
      <alignment horizontal="center" vertical="center"/>
    </xf>
    <xf numFmtId="0" fontId="3" fillId="4" borderId="10" xfId="3" applyBorder="1" applyAlignment="1">
      <alignment horizontal="center" vertical="center"/>
    </xf>
    <xf numFmtId="0" fontId="7" fillId="5" borderId="10" xfId="4" applyFont="1" applyBorder="1" applyAlignment="1">
      <alignment horizontal="center" vertical="center"/>
    </xf>
    <xf numFmtId="0" fontId="7" fillId="5" borderId="11" xfId="4" applyFont="1" applyBorder="1" applyAlignment="1">
      <alignment horizontal="center" vertical="center"/>
    </xf>
    <xf numFmtId="0" fontId="7" fillId="5" borderId="9" xfId="4" applyFont="1" applyBorder="1" applyAlignment="1">
      <alignment horizontal="center" vertical="center"/>
    </xf>
    <xf numFmtId="0" fontId="7" fillId="5" borderId="13" xfId="4" applyFont="1" applyBorder="1" applyAlignment="1">
      <alignment horizontal="center" vertical="center"/>
    </xf>
    <xf numFmtId="0" fontId="2" fillId="2" borderId="5" xfId="1" applyFont="1" applyBorder="1" applyAlignment="1">
      <alignment horizontal="center" vertical="center"/>
    </xf>
    <xf numFmtId="0" fontId="2" fillId="2" borderId="0" xfId="1" applyFont="1" applyAlignment="1">
      <alignment horizontal="center" vertical="center"/>
    </xf>
    <xf numFmtId="0" fontId="3" fillId="4" borderId="2" xfId="3" applyBorder="1" applyAlignment="1">
      <alignment horizontal="center" vertical="center"/>
    </xf>
    <xf numFmtId="0" fontId="3" fillId="4" borderId="4" xfId="3" applyBorder="1" applyAlignment="1">
      <alignment horizontal="center" vertical="center"/>
    </xf>
    <xf numFmtId="0" fontId="4" fillId="4" borderId="1" xfId="3" applyFont="1" applyBorder="1" applyAlignment="1">
      <alignment horizontal="center" vertical="center" wrapText="1"/>
    </xf>
    <xf numFmtId="9" fontId="0" fillId="0" borderId="1" xfId="0" applyNumberFormat="1" applyBorder="1" applyAlignment="1" applyProtection="1">
      <alignment horizontal="center" vertical="center"/>
      <protection locked="0"/>
    </xf>
    <xf numFmtId="0" fontId="0" fillId="3" borderId="3" xfId="2" applyFont="1" applyBorder="1" applyAlignment="1">
      <alignment horizontal="center" vertical="center"/>
    </xf>
    <xf numFmtId="0" fontId="0" fillId="3" borderId="4" xfId="2" applyFont="1" applyBorder="1" applyAlignment="1">
      <alignment horizontal="center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</cellXfs>
  <cellStyles count="7">
    <cellStyle name="40% - Accent1" xfId="2" builtinId="31"/>
    <cellStyle name="40% - Accent6" xfId="5" builtinId="51"/>
    <cellStyle name="60% - Accent1" xfId="3" builtinId="32"/>
    <cellStyle name="60% - Accent6" xfId="6" builtinId="52"/>
    <cellStyle name="Accent1" xfId="1" builtinId="29"/>
    <cellStyle name="Accent6" xfId="4" builtinId="4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184150</xdr:colOff>
          <xdr:row>33</xdr:row>
          <xdr:rowOff>165100</xdr:rowOff>
        </xdr:from>
        <xdr:to>
          <xdr:col>15</xdr:col>
          <xdr:colOff>184150</xdr:colOff>
          <xdr:row>35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Output Register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704850</xdr:colOff>
          <xdr:row>33</xdr:row>
          <xdr:rowOff>184150</xdr:rowOff>
        </xdr:from>
        <xdr:to>
          <xdr:col>17</xdr:col>
          <xdr:colOff>762000</xdr:colOff>
          <xdr:row>35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Text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152400</xdr:colOff>
          <xdr:row>33</xdr:row>
          <xdr:rowOff>184150</xdr:rowOff>
        </xdr:from>
        <xdr:to>
          <xdr:col>19</xdr:col>
          <xdr:colOff>361950</xdr:colOff>
          <xdr:row>35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36"/>
  <sheetViews>
    <sheetView tabSelected="1" topLeftCell="D13" zoomScale="85" zoomScaleNormal="85" workbookViewId="0">
      <selection activeCell="L28" sqref="L28:Q29"/>
    </sheetView>
  </sheetViews>
  <sheetFormatPr defaultRowHeight="14.5"/>
  <cols>
    <col min="1" max="1" width="14.81640625" customWidth="1"/>
    <col min="2" max="2" width="12.26953125" customWidth="1"/>
    <col min="3" max="3" width="9.26953125" customWidth="1"/>
    <col min="4" max="4" width="13" customWidth="1"/>
    <col min="5" max="5" width="12.1796875" customWidth="1"/>
    <col min="6" max="6" width="13.54296875" customWidth="1"/>
    <col min="7" max="7" width="11.453125" customWidth="1"/>
    <col min="8" max="8" width="11.54296875" customWidth="1"/>
    <col min="9" max="9" width="13" customWidth="1"/>
    <col min="10" max="10" width="15.26953125" customWidth="1"/>
    <col min="11" max="11" width="13.54296875" customWidth="1"/>
    <col min="12" max="12" width="14.1796875" customWidth="1"/>
    <col min="13" max="13" width="14.26953125" customWidth="1"/>
    <col min="14" max="14" width="11.26953125" customWidth="1"/>
    <col min="15" max="15" width="14" customWidth="1"/>
    <col min="16" max="16" width="17.54296875" customWidth="1"/>
    <col min="17" max="17" width="17.81640625" customWidth="1"/>
    <col min="18" max="18" width="15.7265625" customWidth="1"/>
  </cols>
  <sheetData>
    <row r="1" spans="1:20" ht="29.25" customHeight="1">
      <c r="A1" s="60" t="s">
        <v>0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</row>
    <row r="2" spans="1:20" ht="17.5" customHeight="1">
      <c r="A2" s="15" t="s">
        <v>64</v>
      </c>
      <c r="B2" s="12" t="s">
        <v>1</v>
      </c>
      <c r="C2" s="11"/>
      <c r="D2" s="11"/>
      <c r="E2" s="11"/>
      <c r="F2" s="12" t="s">
        <v>2</v>
      </c>
      <c r="G2" s="11"/>
      <c r="H2" s="11"/>
      <c r="I2" s="12" t="s">
        <v>3</v>
      </c>
      <c r="J2" s="11"/>
      <c r="K2" s="11"/>
      <c r="L2" s="12" t="s">
        <v>4</v>
      </c>
      <c r="M2" s="11"/>
      <c r="N2" s="11"/>
      <c r="O2" s="12" t="s">
        <v>5</v>
      </c>
      <c r="P2" s="11"/>
      <c r="Q2" s="11"/>
      <c r="R2" s="56" t="s">
        <v>61</v>
      </c>
      <c r="S2" s="57"/>
      <c r="T2" s="57"/>
    </row>
    <row r="3" spans="1:20" ht="17.5" customHeight="1">
      <c r="A3" s="15"/>
      <c r="B3" s="10" t="s">
        <v>171</v>
      </c>
      <c r="C3" s="10"/>
      <c r="D3" s="10"/>
      <c r="E3" s="10"/>
      <c r="F3" s="10" t="s">
        <v>172</v>
      </c>
      <c r="G3" s="10"/>
      <c r="H3" s="10"/>
      <c r="I3" s="10" t="s">
        <v>163</v>
      </c>
      <c r="J3" s="10"/>
      <c r="K3" s="10"/>
      <c r="L3" s="10" t="s">
        <v>170</v>
      </c>
      <c r="M3" s="10"/>
      <c r="N3" s="10"/>
      <c r="O3" s="10" t="s">
        <v>143</v>
      </c>
      <c r="P3" s="10"/>
      <c r="Q3" s="10"/>
      <c r="R3" s="58"/>
      <c r="S3" s="59"/>
      <c r="T3" s="59"/>
    </row>
    <row r="4" spans="1:20" ht="17.5" customHeight="1">
      <c r="A4" s="15" t="s">
        <v>65</v>
      </c>
      <c r="B4" s="14" t="s">
        <v>6</v>
      </c>
      <c r="C4" s="14"/>
      <c r="D4" s="11" t="s">
        <v>7</v>
      </c>
      <c r="E4" s="11"/>
      <c r="F4" s="11" t="s">
        <v>8</v>
      </c>
      <c r="G4" s="11"/>
      <c r="H4" s="11" t="s">
        <v>9</v>
      </c>
      <c r="I4" s="11"/>
      <c r="J4" s="11" t="s">
        <v>10</v>
      </c>
      <c r="K4" s="11"/>
      <c r="L4" s="11" t="s">
        <v>12</v>
      </c>
      <c r="M4" s="11"/>
      <c r="N4" s="11" t="s">
        <v>13</v>
      </c>
      <c r="O4" s="11"/>
      <c r="P4" s="11" t="s">
        <v>11</v>
      </c>
      <c r="Q4" s="11"/>
      <c r="R4" s="1" t="s">
        <v>85</v>
      </c>
      <c r="S4" s="1" t="s">
        <v>62</v>
      </c>
      <c r="T4" s="1" t="s">
        <v>63</v>
      </c>
    </row>
    <row r="5" spans="1:20" ht="17.5" customHeight="1">
      <c r="A5" s="15"/>
      <c r="B5" s="14"/>
      <c r="C5" s="14"/>
      <c r="D5" s="10" t="s">
        <v>147</v>
      </c>
      <c r="E5" s="10"/>
      <c r="F5" s="10" t="s">
        <v>147</v>
      </c>
      <c r="G5" s="10"/>
      <c r="H5" s="10" t="s">
        <v>147</v>
      </c>
      <c r="I5" s="10"/>
      <c r="J5" s="10" t="s">
        <v>147</v>
      </c>
      <c r="K5" s="10"/>
      <c r="L5" s="10" t="s">
        <v>147</v>
      </c>
      <c r="M5" s="10"/>
      <c r="N5" s="10" t="s">
        <v>147</v>
      </c>
      <c r="O5" s="10"/>
      <c r="P5" s="10" t="s">
        <v>147</v>
      </c>
      <c r="Q5" s="10"/>
      <c r="R5" s="5" t="s">
        <v>87</v>
      </c>
      <c r="S5" s="5" t="s">
        <v>114</v>
      </c>
      <c r="T5" s="3" t="s">
        <v>193</v>
      </c>
    </row>
    <row r="6" spans="1:20" ht="17.5" customHeight="1">
      <c r="A6" s="15"/>
      <c r="B6" s="14" t="s">
        <v>14</v>
      </c>
      <c r="C6" s="14"/>
      <c r="D6" s="11" t="s">
        <v>15</v>
      </c>
      <c r="E6" s="11"/>
      <c r="F6" s="11" t="s">
        <v>16</v>
      </c>
      <c r="G6" s="11"/>
      <c r="H6" s="11" t="s">
        <v>17</v>
      </c>
      <c r="I6" s="11"/>
      <c r="J6" s="12" t="s">
        <v>18</v>
      </c>
      <c r="K6" s="11"/>
      <c r="L6" s="11" t="s">
        <v>19</v>
      </c>
      <c r="M6" s="11"/>
      <c r="N6" s="12" t="s">
        <v>20</v>
      </c>
      <c r="O6" s="11"/>
      <c r="P6" s="12" t="s">
        <v>67</v>
      </c>
      <c r="Q6" s="11"/>
      <c r="R6" s="5" t="s">
        <v>89</v>
      </c>
      <c r="S6" s="5" t="s">
        <v>115</v>
      </c>
      <c r="T6" s="3" t="s">
        <v>193</v>
      </c>
    </row>
    <row r="7" spans="1:20" ht="17.5" customHeight="1">
      <c r="A7" s="15"/>
      <c r="B7" s="14"/>
      <c r="C7" s="14"/>
      <c r="D7" s="10" t="s">
        <v>147</v>
      </c>
      <c r="E7" s="10"/>
      <c r="F7" s="10" t="s">
        <v>147</v>
      </c>
      <c r="G7" s="10"/>
      <c r="H7" s="10" t="s">
        <v>147</v>
      </c>
      <c r="I7" s="10"/>
      <c r="J7" s="10" t="s">
        <v>147</v>
      </c>
      <c r="K7" s="10"/>
      <c r="L7" s="10" t="s">
        <v>147</v>
      </c>
      <c r="M7" s="10"/>
      <c r="N7" s="10" t="s">
        <v>147</v>
      </c>
      <c r="O7" s="10"/>
      <c r="P7" s="10" t="s">
        <v>147</v>
      </c>
      <c r="Q7" s="10"/>
      <c r="R7" s="5" t="s">
        <v>86</v>
      </c>
      <c r="S7" s="5" t="s">
        <v>116</v>
      </c>
      <c r="T7" s="3" t="s">
        <v>191</v>
      </c>
    </row>
    <row r="8" spans="1:20" ht="17.5" customHeight="1" thickBot="1">
      <c r="A8" s="19" t="s">
        <v>21</v>
      </c>
      <c r="B8" s="12" t="s">
        <v>22</v>
      </c>
      <c r="C8" s="12"/>
      <c r="D8" s="12"/>
      <c r="E8" s="12"/>
      <c r="F8" s="12" t="s">
        <v>23</v>
      </c>
      <c r="G8" s="11"/>
      <c r="H8" s="11"/>
      <c r="I8" s="11"/>
      <c r="J8" s="12" t="s">
        <v>24</v>
      </c>
      <c r="K8" s="11"/>
      <c r="L8" s="11"/>
      <c r="M8" s="11"/>
      <c r="N8" s="12" t="s">
        <v>66</v>
      </c>
      <c r="O8" s="11"/>
      <c r="P8" s="11"/>
      <c r="Q8" s="11"/>
      <c r="R8" s="7" t="s">
        <v>88</v>
      </c>
      <c r="S8" s="7" t="s">
        <v>117</v>
      </c>
      <c r="T8" s="3" t="s">
        <v>192</v>
      </c>
    </row>
    <row r="9" spans="1:20" ht="17.5" customHeight="1" thickTop="1">
      <c r="A9" s="19"/>
      <c r="B9" s="10" t="s">
        <v>173</v>
      </c>
      <c r="C9" s="10"/>
      <c r="D9" s="10"/>
      <c r="E9" s="10"/>
      <c r="F9" s="13" t="s">
        <v>144</v>
      </c>
      <c r="G9" s="10"/>
      <c r="H9" s="10"/>
      <c r="I9" s="10"/>
      <c r="J9" s="13" t="s">
        <v>145</v>
      </c>
      <c r="K9" s="10"/>
      <c r="L9" s="10"/>
      <c r="M9" s="10"/>
      <c r="N9" s="10" t="s">
        <v>146</v>
      </c>
      <c r="O9" s="10"/>
      <c r="P9" s="10"/>
      <c r="Q9" s="10"/>
      <c r="R9" s="5" t="s">
        <v>90</v>
      </c>
      <c r="S9" s="8" t="s">
        <v>118</v>
      </c>
      <c r="T9" s="3" t="s">
        <v>191</v>
      </c>
    </row>
    <row r="10" spans="1:20" ht="17.5" customHeight="1">
      <c r="A10" s="19" t="s">
        <v>16</v>
      </c>
      <c r="B10" s="41" t="s">
        <v>27</v>
      </c>
      <c r="C10" s="41"/>
      <c r="D10" s="12" t="s">
        <v>178</v>
      </c>
      <c r="E10" s="11"/>
      <c r="F10" s="11"/>
      <c r="G10" s="12" t="s">
        <v>28</v>
      </c>
      <c r="H10" s="11"/>
      <c r="I10" s="11"/>
      <c r="J10" s="11"/>
      <c r="K10" s="12" t="s">
        <v>34</v>
      </c>
      <c r="L10" s="11"/>
      <c r="M10" s="11"/>
      <c r="N10" s="11"/>
      <c r="O10" s="12" t="s">
        <v>36</v>
      </c>
      <c r="P10" s="11"/>
      <c r="Q10" s="11"/>
      <c r="R10" s="5" t="s">
        <v>91</v>
      </c>
      <c r="S10" s="5" t="s">
        <v>119</v>
      </c>
      <c r="T10" s="9" t="s">
        <v>191</v>
      </c>
    </row>
    <row r="11" spans="1:20" ht="17.5" customHeight="1">
      <c r="A11" s="19"/>
      <c r="B11" s="41"/>
      <c r="C11" s="41"/>
      <c r="D11" s="10" t="s">
        <v>69</v>
      </c>
      <c r="E11" s="10"/>
      <c r="F11" s="10"/>
      <c r="G11" s="65">
        <v>0.1</v>
      </c>
      <c r="H11" s="65"/>
      <c r="I11" s="65"/>
      <c r="J11" s="65"/>
      <c r="K11" s="10" t="s">
        <v>161</v>
      </c>
      <c r="L11" s="10"/>
      <c r="M11" s="10"/>
      <c r="N11" s="10"/>
      <c r="O11" s="10" t="s">
        <v>168</v>
      </c>
      <c r="P11" s="10"/>
      <c r="Q11" s="10"/>
      <c r="R11" s="5" t="s">
        <v>92</v>
      </c>
      <c r="S11" s="5" t="s">
        <v>120</v>
      </c>
      <c r="T11" s="3" t="s">
        <v>194</v>
      </c>
    </row>
    <row r="12" spans="1:20" ht="17.5" customHeight="1">
      <c r="A12" s="19"/>
      <c r="B12" s="41" t="s">
        <v>31</v>
      </c>
      <c r="C12" s="41"/>
      <c r="D12" s="12" t="s">
        <v>78</v>
      </c>
      <c r="E12" s="11"/>
      <c r="F12" s="11"/>
      <c r="G12" s="12" t="s">
        <v>81</v>
      </c>
      <c r="H12" s="11"/>
      <c r="I12" s="11"/>
      <c r="J12" s="11"/>
      <c r="K12" s="12" t="s">
        <v>79</v>
      </c>
      <c r="L12" s="11"/>
      <c r="M12" s="11"/>
      <c r="N12" s="11"/>
      <c r="O12" s="12" t="s">
        <v>82</v>
      </c>
      <c r="P12" s="11"/>
      <c r="Q12" s="11"/>
      <c r="R12" s="5" t="s">
        <v>93</v>
      </c>
      <c r="S12" s="5" t="s">
        <v>121</v>
      </c>
      <c r="T12" s="3" t="s">
        <v>116</v>
      </c>
    </row>
    <row r="13" spans="1:20" ht="17.5" customHeight="1">
      <c r="A13" s="19"/>
      <c r="B13" s="41"/>
      <c r="C13" s="41"/>
      <c r="D13" s="10">
        <v>15</v>
      </c>
      <c r="E13" s="10"/>
      <c r="F13" s="10"/>
      <c r="G13" s="45">
        <v>3.6</v>
      </c>
      <c r="H13" s="45"/>
      <c r="I13" s="45"/>
      <c r="J13" s="45"/>
      <c r="K13" s="21">
        <v>15</v>
      </c>
      <c r="L13" s="22"/>
      <c r="M13" s="22"/>
      <c r="N13" s="23"/>
      <c r="O13" s="45">
        <v>3.6</v>
      </c>
      <c r="P13" s="45"/>
      <c r="Q13" s="45"/>
      <c r="R13" s="5" t="s">
        <v>94</v>
      </c>
      <c r="S13" s="5" t="s">
        <v>122</v>
      </c>
      <c r="T13" s="3" t="s">
        <v>195</v>
      </c>
    </row>
    <row r="14" spans="1:20" ht="17.5" customHeight="1">
      <c r="A14" s="19"/>
      <c r="B14" s="41" t="s">
        <v>35</v>
      </c>
      <c r="C14" s="41"/>
      <c r="D14" s="12" t="s">
        <v>33</v>
      </c>
      <c r="E14" s="11"/>
      <c r="F14" s="11"/>
      <c r="G14" s="12" t="s">
        <v>32</v>
      </c>
      <c r="H14" s="11"/>
      <c r="I14" s="11"/>
      <c r="J14" s="38" t="s">
        <v>29</v>
      </c>
      <c r="K14" s="66"/>
      <c r="L14" s="67"/>
      <c r="M14" s="12" t="s">
        <v>30</v>
      </c>
      <c r="N14" s="11"/>
      <c r="O14" s="11"/>
      <c r="P14" s="38" t="s">
        <v>71</v>
      </c>
      <c r="Q14" s="40"/>
      <c r="R14" s="5" t="s">
        <v>95</v>
      </c>
      <c r="S14" s="5" t="s">
        <v>142</v>
      </c>
      <c r="T14" s="3" t="s">
        <v>196</v>
      </c>
    </row>
    <row r="15" spans="1:20" ht="17.5" customHeight="1">
      <c r="A15" s="19"/>
      <c r="B15" s="41"/>
      <c r="C15" s="41"/>
      <c r="D15" s="20" t="s">
        <v>160</v>
      </c>
      <c r="E15" s="20"/>
      <c r="F15" s="20"/>
      <c r="G15" s="10" t="s">
        <v>149</v>
      </c>
      <c r="H15" s="10"/>
      <c r="I15" s="10"/>
      <c r="J15" s="68" t="s">
        <v>167</v>
      </c>
      <c r="K15" s="69"/>
      <c r="L15" s="70"/>
      <c r="M15" s="10" t="s">
        <v>148</v>
      </c>
      <c r="N15" s="10"/>
      <c r="O15" s="10"/>
      <c r="P15" s="21">
        <v>4.5</v>
      </c>
      <c r="Q15" s="23"/>
      <c r="R15" s="5" t="s">
        <v>96</v>
      </c>
      <c r="S15" s="5" t="s">
        <v>141</v>
      </c>
      <c r="T15" s="3" t="s">
        <v>191</v>
      </c>
    </row>
    <row r="16" spans="1:20" ht="17.5" customHeight="1">
      <c r="A16" s="19"/>
      <c r="B16" s="41" t="s">
        <v>37</v>
      </c>
      <c r="C16" s="41"/>
      <c r="D16" s="12" t="s">
        <v>157</v>
      </c>
      <c r="E16" s="11"/>
      <c r="F16" s="11"/>
      <c r="G16" s="12" t="s">
        <v>39</v>
      </c>
      <c r="H16" s="11"/>
      <c r="I16" s="11"/>
      <c r="J16" s="11"/>
      <c r="K16" s="12" t="s">
        <v>40</v>
      </c>
      <c r="L16" s="11"/>
      <c r="M16" s="11"/>
      <c r="N16" s="11"/>
      <c r="O16" s="12" t="s">
        <v>68</v>
      </c>
      <c r="P16" s="11"/>
      <c r="Q16" s="11"/>
      <c r="R16" s="5" t="s">
        <v>97</v>
      </c>
      <c r="S16" s="5" t="s">
        <v>140</v>
      </c>
      <c r="T16" s="3" t="s">
        <v>191</v>
      </c>
    </row>
    <row r="17" spans="1:20" ht="17.5" customHeight="1" thickBot="1">
      <c r="A17" s="19"/>
      <c r="B17" s="41"/>
      <c r="C17" s="41"/>
      <c r="D17" s="10" t="s">
        <v>205</v>
      </c>
      <c r="E17" s="10"/>
      <c r="F17" s="10"/>
      <c r="G17" s="45" t="s">
        <v>150</v>
      </c>
      <c r="H17" s="45"/>
      <c r="I17" s="45"/>
      <c r="J17" s="45"/>
      <c r="K17" s="21" t="s">
        <v>169</v>
      </c>
      <c r="L17" s="22"/>
      <c r="M17" s="22"/>
      <c r="N17" s="23"/>
      <c r="O17" s="45" t="s">
        <v>151</v>
      </c>
      <c r="P17" s="45"/>
      <c r="Q17" s="45"/>
      <c r="R17" s="7" t="s">
        <v>98</v>
      </c>
      <c r="S17" s="7" t="s">
        <v>139</v>
      </c>
      <c r="T17" s="3" t="s">
        <v>197</v>
      </c>
    </row>
    <row r="18" spans="1:20" ht="17.5" customHeight="1" thickTop="1">
      <c r="A18" s="19"/>
      <c r="B18" s="41" t="s">
        <v>38</v>
      </c>
      <c r="C18" s="41"/>
      <c r="D18" s="12" t="s">
        <v>15</v>
      </c>
      <c r="E18" s="11"/>
      <c r="F18" s="11"/>
      <c r="G18" s="12" t="s">
        <v>41</v>
      </c>
      <c r="H18" s="11"/>
      <c r="I18" s="11"/>
      <c r="J18" s="38" t="s">
        <v>42</v>
      </c>
      <c r="K18" s="66"/>
      <c r="L18" s="67"/>
      <c r="M18" s="12" t="s">
        <v>43</v>
      </c>
      <c r="N18" s="11"/>
      <c r="O18" s="11"/>
      <c r="P18" s="38" t="s">
        <v>44</v>
      </c>
      <c r="Q18" s="40"/>
      <c r="R18" s="5" t="s">
        <v>101</v>
      </c>
      <c r="S18" s="8" t="s">
        <v>138</v>
      </c>
      <c r="T18" s="3" t="s">
        <v>192</v>
      </c>
    </row>
    <row r="19" spans="1:20" ht="17.5" customHeight="1">
      <c r="A19" s="19"/>
      <c r="B19" s="41"/>
      <c r="C19" s="41"/>
      <c r="D19" s="20" t="s">
        <v>69</v>
      </c>
      <c r="E19" s="20"/>
      <c r="F19" s="20"/>
      <c r="G19" s="10" t="s">
        <v>164</v>
      </c>
      <c r="H19" s="10"/>
      <c r="I19" s="10"/>
      <c r="J19" s="68" t="s">
        <v>165</v>
      </c>
      <c r="K19" s="69"/>
      <c r="L19" s="70"/>
      <c r="M19" s="10" t="s">
        <v>162</v>
      </c>
      <c r="N19" s="10"/>
      <c r="O19" s="10"/>
      <c r="P19" s="21" t="s">
        <v>166</v>
      </c>
      <c r="Q19" s="23"/>
      <c r="R19" s="5" t="s">
        <v>102</v>
      </c>
      <c r="S19" s="5" t="s">
        <v>137</v>
      </c>
      <c r="T19" s="3" t="s">
        <v>199</v>
      </c>
    </row>
    <row r="20" spans="1:20" ht="17.5" customHeight="1">
      <c r="A20" s="15" t="s">
        <v>25</v>
      </c>
      <c r="B20" s="64" t="s">
        <v>26</v>
      </c>
      <c r="C20" s="64"/>
      <c r="D20" s="42" t="s">
        <v>49</v>
      </c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4"/>
      <c r="R20" s="5" t="s">
        <v>103</v>
      </c>
      <c r="S20" s="5" t="s">
        <v>136</v>
      </c>
      <c r="T20" s="3" t="s">
        <v>200</v>
      </c>
    </row>
    <row r="21" spans="1:20" ht="17.5" customHeight="1">
      <c r="A21" s="15"/>
      <c r="B21" s="64"/>
      <c r="C21" s="64"/>
      <c r="D21" s="21" t="s">
        <v>177</v>
      </c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3"/>
      <c r="R21" s="5" t="s">
        <v>104</v>
      </c>
      <c r="S21" s="5" t="s">
        <v>135</v>
      </c>
      <c r="T21" s="3" t="s">
        <v>201</v>
      </c>
    </row>
    <row r="22" spans="1:20" ht="17.5" customHeight="1">
      <c r="A22" s="15"/>
      <c r="B22" s="62"/>
      <c r="C22" s="63"/>
      <c r="D22" s="12" t="s">
        <v>156</v>
      </c>
      <c r="E22" s="11"/>
      <c r="F22" s="11"/>
      <c r="G22" s="12" t="s">
        <v>50</v>
      </c>
      <c r="H22" s="11"/>
      <c r="I22" s="11"/>
      <c r="J22" s="11"/>
      <c r="K22" s="12" t="s">
        <v>51</v>
      </c>
      <c r="L22" s="11"/>
      <c r="M22" s="11"/>
      <c r="N22" s="11"/>
      <c r="O22" s="12" t="s">
        <v>52</v>
      </c>
      <c r="P22" s="11"/>
      <c r="Q22" s="11"/>
      <c r="R22" s="5" t="s">
        <v>154</v>
      </c>
      <c r="S22" s="5" t="s">
        <v>134</v>
      </c>
      <c r="T22" s="3" t="s">
        <v>202</v>
      </c>
    </row>
    <row r="23" spans="1:20" ht="17.5" customHeight="1">
      <c r="A23" s="15"/>
      <c r="B23" s="32" t="s">
        <v>45</v>
      </c>
      <c r="C23" s="4" t="s">
        <v>46</v>
      </c>
      <c r="D23" s="49">
        <v>2.0499999999999998</v>
      </c>
      <c r="E23" s="20"/>
      <c r="F23" s="20"/>
      <c r="G23" s="10" t="s">
        <v>174</v>
      </c>
      <c r="H23" s="10"/>
      <c r="I23" s="10"/>
      <c r="J23" s="10"/>
      <c r="K23" s="10" t="s">
        <v>70</v>
      </c>
      <c r="L23" s="10"/>
      <c r="M23" s="10"/>
      <c r="N23" s="10"/>
      <c r="O23" s="10" t="s">
        <v>80</v>
      </c>
      <c r="P23" s="10"/>
      <c r="Q23" s="10"/>
      <c r="R23" s="5" t="s">
        <v>106</v>
      </c>
      <c r="S23" s="5" t="s">
        <v>133</v>
      </c>
      <c r="T23" s="3" t="s">
        <v>199</v>
      </c>
    </row>
    <row r="24" spans="1:20" ht="17.5" customHeight="1" thickBot="1">
      <c r="A24" s="15"/>
      <c r="B24" s="33"/>
      <c r="C24" s="4" t="s">
        <v>47</v>
      </c>
      <c r="D24" s="50">
        <v>1.2</v>
      </c>
      <c r="E24" s="51"/>
      <c r="F24" s="51"/>
      <c r="G24" s="10" t="s">
        <v>174</v>
      </c>
      <c r="H24" s="10"/>
      <c r="I24" s="10"/>
      <c r="J24" s="10"/>
      <c r="K24" s="10" t="s">
        <v>175</v>
      </c>
      <c r="L24" s="10"/>
      <c r="M24" s="10"/>
      <c r="N24" s="10"/>
      <c r="O24" s="10" t="s">
        <v>80</v>
      </c>
      <c r="P24" s="10"/>
      <c r="Q24" s="10"/>
      <c r="R24" s="7" t="s">
        <v>105</v>
      </c>
      <c r="S24" s="7" t="s">
        <v>132</v>
      </c>
      <c r="T24" s="3" t="s">
        <v>200</v>
      </c>
    </row>
    <row r="25" spans="1:20" ht="17.5" customHeight="1" thickTop="1">
      <c r="A25" s="15"/>
      <c r="B25" s="34"/>
      <c r="C25" s="4" t="s">
        <v>48</v>
      </c>
      <c r="D25" s="52">
        <v>3.3</v>
      </c>
      <c r="E25" s="53"/>
      <c r="F25" s="53"/>
      <c r="G25" s="10" t="s">
        <v>174</v>
      </c>
      <c r="H25" s="10"/>
      <c r="I25" s="10"/>
      <c r="J25" s="10"/>
      <c r="K25" s="10" t="s">
        <v>70</v>
      </c>
      <c r="L25" s="10"/>
      <c r="M25" s="10"/>
      <c r="N25" s="10"/>
      <c r="O25" s="10" t="s">
        <v>80</v>
      </c>
      <c r="P25" s="10"/>
      <c r="Q25" s="10"/>
      <c r="R25" s="5" t="s">
        <v>99</v>
      </c>
      <c r="S25" s="8" t="s">
        <v>131</v>
      </c>
      <c r="T25" s="3" t="s">
        <v>138</v>
      </c>
    </row>
    <row r="26" spans="1:20" ht="17.5" customHeight="1" thickBot="1">
      <c r="A26" s="25" t="s">
        <v>53</v>
      </c>
      <c r="B26" s="38" t="s">
        <v>83</v>
      </c>
      <c r="C26" s="39"/>
      <c r="D26" s="39"/>
      <c r="E26" s="39"/>
      <c r="F26" s="40"/>
      <c r="G26" s="12" t="s">
        <v>51</v>
      </c>
      <c r="H26" s="11"/>
      <c r="I26" s="11"/>
      <c r="J26" s="11"/>
      <c r="K26" s="11"/>
      <c r="L26" s="11"/>
      <c r="M26" s="12" t="s">
        <v>52</v>
      </c>
      <c r="N26" s="11"/>
      <c r="O26" s="11"/>
      <c r="P26" s="11"/>
      <c r="Q26" s="11"/>
      <c r="R26" s="7" t="s">
        <v>100</v>
      </c>
      <c r="S26" s="7" t="s">
        <v>130</v>
      </c>
      <c r="T26" s="3" t="s">
        <v>198</v>
      </c>
    </row>
    <row r="27" spans="1:20" ht="17.5" customHeight="1" thickTop="1">
      <c r="A27" s="27"/>
      <c r="B27" s="46">
        <v>1.85</v>
      </c>
      <c r="C27" s="47"/>
      <c r="D27" s="47"/>
      <c r="E27" s="47"/>
      <c r="F27" s="48"/>
      <c r="G27" s="21" t="s">
        <v>176</v>
      </c>
      <c r="H27" s="22"/>
      <c r="I27" s="22"/>
      <c r="J27" s="22"/>
      <c r="K27" s="22"/>
      <c r="L27" s="23"/>
      <c r="M27" s="21" t="s">
        <v>80</v>
      </c>
      <c r="N27" s="22"/>
      <c r="O27" s="22"/>
      <c r="P27" s="22"/>
      <c r="Q27" s="23"/>
      <c r="R27" s="5" t="s">
        <v>107</v>
      </c>
      <c r="S27" s="6" t="s">
        <v>129</v>
      </c>
      <c r="T27" s="3" t="s">
        <v>196</v>
      </c>
    </row>
    <row r="28" spans="1:20" ht="17.5" customHeight="1">
      <c r="A28" s="25" t="s">
        <v>54</v>
      </c>
      <c r="B28" s="28" t="s">
        <v>26</v>
      </c>
      <c r="C28" s="29"/>
      <c r="D28" s="12" t="s">
        <v>158</v>
      </c>
      <c r="E28" s="12"/>
      <c r="F28" s="12"/>
      <c r="G28" s="12"/>
      <c r="H28" s="12"/>
      <c r="I28" s="12"/>
      <c r="J28" s="12"/>
      <c r="K28" s="12"/>
      <c r="L28" s="10" t="s">
        <v>80</v>
      </c>
      <c r="M28" s="10"/>
      <c r="N28" s="10"/>
      <c r="O28" s="10"/>
      <c r="P28" s="10"/>
      <c r="Q28" s="10"/>
      <c r="R28" s="5" t="s">
        <v>109</v>
      </c>
      <c r="S28" s="5" t="s">
        <v>128</v>
      </c>
      <c r="T28" s="3" t="s">
        <v>196</v>
      </c>
    </row>
    <row r="29" spans="1:20" ht="17.5" customHeight="1">
      <c r="A29" s="26"/>
      <c r="B29" s="30"/>
      <c r="C29" s="31"/>
      <c r="D29" s="12"/>
      <c r="E29" s="12"/>
      <c r="F29" s="12"/>
      <c r="G29" s="12"/>
      <c r="H29" s="12"/>
      <c r="I29" s="12"/>
      <c r="J29" s="12"/>
      <c r="K29" s="12"/>
      <c r="L29" s="10"/>
      <c r="M29" s="10"/>
      <c r="N29" s="10"/>
      <c r="O29" s="10"/>
      <c r="P29" s="10"/>
      <c r="Q29" s="10"/>
      <c r="R29" s="5" t="s">
        <v>111</v>
      </c>
      <c r="S29" s="5" t="s">
        <v>127</v>
      </c>
      <c r="T29" s="3" t="s">
        <v>196</v>
      </c>
    </row>
    <row r="30" spans="1:20" ht="17.5" customHeight="1">
      <c r="A30" s="26"/>
      <c r="B30" s="55"/>
      <c r="C30" s="29"/>
      <c r="D30" s="38" t="s">
        <v>84</v>
      </c>
      <c r="E30" s="39"/>
      <c r="F30" s="40"/>
      <c r="G30" s="38" t="s">
        <v>58</v>
      </c>
      <c r="H30" s="39"/>
      <c r="I30" s="40"/>
      <c r="J30" s="38" t="s">
        <v>159</v>
      </c>
      <c r="K30" s="39"/>
      <c r="L30" s="40"/>
      <c r="M30" s="38" t="s">
        <v>59</v>
      </c>
      <c r="N30" s="39"/>
      <c r="O30" s="40"/>
      <c r="P30" s="38" t="s">
        <v>60</v>
      </c>
      <c r="Q30" s="40"/>
      <c r="R30" s="5" t="s">
        <v>108</v>
      </c>
      <c r="S30" s="5" t="s">
        <v>126</v>
      </c>
      <c r="T30" s="3" t="s">
        <v>203</v>
      </c>
    </row>
    <row r="31" spans="1:20" ht="17.5" customHeight="1">
      <c r="A31" s="26"/>
      <c r="B31" s="41" t="s">
        <v>45</v>
      </c>
      <c r="C31" s="2" t="s">
        <v>55</v>
      </c>
      <c r="D31" s="35">
        <v>0.15625</v>
      </c>
      <c r="E31" s="36"/>
      <c r="F31" s="37"/>
      <c r="G31" s="21" t="s">
        <v>152</v>
      </c>
      <c r="H31" s="22"/>
      <c r="I31" s="23"/>
      <c r="J31" s="21" t="s">
        <v>143</v>
      </c>
      <c r="K31" s="22"/>
      <c r="L31" s="23"/>
      <c r="M31" s="24">
        <v>1</v>
      </c>
      <c r="N31" s="22"/>
      <c r="O31" s="23"/>
      <c r="P31" s="21" t="s">
        <v>153</v>
      </c>
      <c r="Q31" s="23"/>
      <c r="R31" s="5" t="s">
        <v>110</v>
      </c>
      <c r="S31" s="5" t="s">
        <v>125</v>
      </c>
      <c r="T31" s="3" t="s">
        <v>203</v>
      </c>
    </row>
    <row r="32" spans="1:20" ht="17.5" customHeight="1">
      <c r="A32" s="26"/>
      <c r="B32" s="54"/>
      <c r="C32" s="2" t="s">
        <v>56</v>
      </c>
      <c r="D32" s="35">
        <v>0.15625</v>
      </c>
      <c r="E32" s="36"/>
      <c r="F32" s="37"/>
      <c r="G32" s="21" t="s">
        <v>152</v>
      </c>
      <c r="H32" s="22"/>
      <c r="I32" s="23"/>
      <c r="J32" s="21" t="s">
        <v>143</v>
      </c>
      <c r="K32" s="22"/>
      <c r="L32" s="23"/>
      <c r="M32" s="24">
        <v>1</v>
      </c>
      <c r="N32" s="22"/>
      <c r="O32" s="23"/>
      <c r="P32" s="21" t="s">
        <v>153</v>
      </c>
      <c r="Q32" s="23"/>
      <c r="R32" s="5" t="s">
        <v>112</v>
      </c>
      <c r="S32" s="5" t="s">
        <v>124</v>
      </c>
      <c r="T32" s="3" t="s">
        <v>203</v>
      </c>
    </row>
    <row r="33" spans="1:20" ht="17.5" customHeight="1">
      <c r="A33" s="27"/>
      <c r="B33" s="54"/>
      <c r="C33" s="2" t="s">
        <v>57</v>
      </c>
      <c r="D33" s="35">
        <v>0.15625</v>
      </c>
      <c r="E33" s="36"/>
      <c r="F33" s="37"/>
      <c r="G33" s="21" t="s">
        <v>152</v>
      </c>
      <c r="H33" s="22"/>
      <c r="I33" s="23"/>
      <c r="J33" s="21" t="s">
        <v>143</v>
      </c>
      <c r="K33" s="22"/>
      <c r="L33" s="23"/>
      <c r="M33" s="24">
        <v>1</v>
      </c>
      <c r="N33" s="22"/>
      <c r="O33" s="23"/>
      <c r="P33" s="21" t="s">
        <v>153</v>
      </c>
      <c r="Q33" s="23"/>
      <c r="R33" s="5" t="s">
        <v>113</v>
      </c>
      <c r="S33" s="5" t="s">
        <v>123</v>
      </c>
      <c r="T33" s="3" t="s">
        <v>204</v>
      </c>
    </row>
    <row r="34" spans="1:20" ht="17.5" customHeight="1">
      <c r="A34" s="17" t="s">
        <v>155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6"/>
      <c r="N34" s="16"/>
      <c r="O34" s="16"/>
      <c r="P34" s="16"/>
      <c r="Q34" s="16"/>
      <c r="R34" s="16"/>
      <c r="S34" s="16"/>
      <c r="T34" s="16"/>
    </row>
    <row r="35" spans="1:20" ht="17.5" customHeight="1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6"/>
      <c r="N35" s="16"/>
      <c r="O35" s="16"/>
      <c r="P35" s="16"/>
      <c r="Q35" s="16"/>
      <c r="R35" s="16"/>
      <c r="S35" s="16"/>
      <c r="T35" s="16"/>
    </row>
    <row r="36" spans="1:20" ht="27" customHeight="1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6"/>
      <c r="N36" s="16"/>
      <c r="O36" s="16"/>
      <c r="P36" s="16"/>
      <c r="Q36" s="16"/>
      <c r="R36" s="16"/>
      <c r="S36" s="16"/>
      <c r="T36" s="16"/>
    </row>
  </sheetData>
  <sheetProtection sheet="1" objects="1" scenarios="1"/>
  <mergeCells count="160">
    <mergeCell ref="P19:Q19"/>
    <mergeCell ref="G14:I14"/>
    <mergeCell ref="J14:L14"/>
    <mergeCell ref="M14:O14"/>
    <mergeCell ref="P14:Q14"/>
    <mergeCell ref="G15:I15"/>
    <mergeCell ref="J15:L15"/>
    <mergeCell ref="M15:O15"/>
    <mergeCell ref="P15:Q15"/>
    <mergeCell ref="G16:J16"/>
    <mergeCell ref="K16:N16"/>
    <mergeCell ref="O16:Q16"/>
    <mergeCell ref="G17:J17"/>
    <mergeCell ref="K17:N17"/>
    <mergeCell ref="O17:Q17"/>
    <mergeCell ref="R2:T3"/>
    <mergeCell ref="A1:T1"/>
    <mergeCell ref="B22:C22"/>
    <mergeCell ref="K11:N11"/>
    <mergeCell ref="O11:Q11"/>
    <mergeCell ref="A8:A9"/>
    <mergeCell ref="D13:F13"/>
    <mergeCell ref="D14:F14"/>
    <mergeCell ref="A20:A25"/>
    <mergeCell ref="B20:C21"/>
    <mergeCell ref="D22:F22"/>
    <mergeCell ref="F8:I8"/>
    <mergeCell ref="J8:M8"/>
    <mergeCell ref="D10:F10"/>
    <mergeCell ref="G10:J10"/>
    <mergeCell ref="D11:F11"/>
    <mergeCell ref="G11:J11"/>
    <mergeCell ref="D12:F12"/>
    <mergeCell ref="G18:I18"/>
    <mergeCell ref="J18:L18"/>
    <mergeCell ref="M18:O18"/>
    <mergeCell ref="P18:Q18"/>
    <mergeCell ref="G19:I19"/>
    <mergeCell ref="J19:L19"/>
    <mergeCell ref="B31:B33"/>
    <mergeCell ref="B30:C30"/>
    <mergeCell ref="D30:F30"/>
    <mergeCell ref="G30:I30"/>
    <mergeCell ref="J30:L30"/>
    <mergeCell ref="M30:O30"/>
    <mergeCell ref="P30:Q30"/>
    <mergeCell ref="D31:F31"/>
    <mergeCell ref="G31:I31"/>
    <mergeCell ref="J31:L31"/>
    <mergeCell ref="M31:O31"/>
    <mergeCell ref="G32:I32"/>
    <mergeCell ref="J32:L32"/>
    <mergeCell ref="P32:Q32"/>
    <mergeCell ref="D33:F33"/>
    <mergeCell ref="G33:I33"/>
    <mergeCell ref="B27:F27"/>
    <mergeCell ref="G27:L27"/>
    <mergeCell ref="M27:Q27"/>
    <mergeCell ref="D28:K29"/>
    <mergeCell ref="L28:Q29"/>
    <mergeCell ref="D23:F23"/>
    <mergeCell ref="G23:J23"/>
    <mergeCell ref="K23:N23"/>
    <mergeCell ref="O23:Q23"/>
    <mergeCell ref="D24:F24"/>
    <mergeCell ref="D25:F25"/>
    <mergeCell ref="G25:J25"/>
    <mergeCell ref="K25:N25"/>
    <mergeCell ref="O25:Q25"/>
    <mergeCell ref="A4:A7"/>
    <mergeCell ref="D15:F15"/>
    <mergeCell ref="K22:N22"/>
    <mergeCell ref="B6:C7"/>
    <mergeCell ref="B10:C11"/>
    <mergeCell ref="B12:C13"/>
    <mergeCell ref="B14:C15"/>
    <mergeCell ref="B16:C17"/>
    <mergeCell ref="B18:C19"/>
    <mergeCell ref="B8:E8"/>
    <mergeCell ref="B9:E9"/>
    <mergeCell ref="G22:J22"/>
    <mergeCell ref="D20:Q20"/>
    <mergeCell ref="D21:Q21"/>
    <mergeCell ref="L7:M7"/>
    <mergeCell ref="K10:N10"/>
    <mergeCell ref="O10:Q10"/>
    <mergeCell ref="G12:J12"/>
    <mergeCell ref="K12:N12"/>
    <mergeCell ref="O12:Q12"/>
    <mergeCell ref="G13:J13"/>
    <mergeCell ref="K13:N13"/>
    <mergeCell ref="O13:Q13"/>
    <mergeCell ref="M19:O19"/>
    <mergeCell ref="M34:T36"/>
    <mergeCell ref="A34:L36"/>
    <mergeCell ref="A10:A19"/>
    <mergeCell ref="O22:Q22"/>
    <mergeCell ref="D16:F16"/>
    <mergeCell ref="D18:F18"/>
    <mergeCell ref="D19:F19"/>
    <mergeCell ref="D17:F17"/>
    <mergeCell ref="G24:J24"/>
    <mergeCell ref="K24:N24"/>
    <mergeCell ref="O24:Q24"/>
    <mergeCell ref="J33:L33"/>
    <mergeCell ref="M33:O33"/>
    <mergeCell ref="P33:Q33"/>
    <mergeCell ref="M32:O32"/>
    <mergeCell ref="A28:A33"/>
    <mergeCell ref="B28:C29"/>
    <mergeCell ref="B23:B25"/>
    <mergeCell ref="P31:Q31"/>
    <mergeCell ref="D32:F32"/>
    <mergeCell ref="A26:A27"/>
    <mergeCell ref="B26:F26"/>
    <mergeCell ref="M26:Q26"/>
    <mergeCell ref="G26:L26"/>
    <mergeCell ref="O2:Q2"/>
    <mergeCell ref="F3:H3"/>
    <mergeCell ref="I3:K3"/>
    <mergeCell ref="L3:N3"/>
    <mergeCell ref="O3:Q3"/>
    <mergeCell ref="A2:A3"/>
    <mergeCell ref="F2:H2"/>
    <mergeCell ref="I2:K2"/>
    <mergeCell ref="L2:N2"/>
    <mergeCell ref="B2:E2"/>
    <mergeCell ref="B3:E3"/>
    <mergeCell ref="D4:E4"/>
    <mergeCell ref="F4:G4"/>
    <mergeCell ref="D6:E6"/>
    <mergeCell ref="F6:G6"/>
    <mergeCell ref="D5:E5"/>
    <mergeCell ref="F5:G5"/>
    <mergeCell ref="D7:E7"/>
    <mergeCell ref="H5:I5"/>
    <mergeCell ref="B4:C5"/>
    <mergeCell ref="H6:I6"/>
    <mergeCell ref="H7:I7"/>
    <mergeCell ref="F7:G7"/>
    <mergeCell ref="P5:Q5"/>
    <mergeCell ref="H4:I4"/>
    <mergeCell ref="J4:K4"/>
    <mergeCell ref="L4:M4"/>
    <mergeCell ref="N4:O4"/>
    <mergeCell ref="P4:Q4"/>
    <mergeCell ref="N8:Q8"/>
    <mergeCell ref="F9:I9"/>
    <mergeCell ref="J9:M9"/>
    <mergeCell ref="N9:Q9"/>
    <mergeCell ref="J6:K6"/>
    <mergeCell ref="J7:K7"/>
    <mergeCell ref="P6:Q6"/>
    <mergeCell ref="P7:Q7"/>
    <mergeCell ref="N6:O6"/>
    <mergeCell ref="N7:O7"/>
    <mergeCell ref="L6:M6"/>
    <mergeCell ref="J5:K5"/>
    <mergeCell ref="L5:M5"/>
    <mergeCell ref="N5:O5"/>
  </mergeCells>
  <phoneticPr fontId="11" type="noConversion"/>
  <dataValidations count="30">
    <dataValidation type="list" allowBlank="1" showInputMessage="1" showErrorMessage="1" sqref="B3:E3" xr:uid="{00000000-0002-0000-0000-000000000000}">
      <formula1>"No Action,SW Cold Reset,SW Off,Reserved"</formula1>
    </dataValidation>
    <dataValidation type="list" allowBlank="1" showInputMessage="1" showErrorMessage="1" sqref="F3:H3" xr:uid="{00000000-0002-0000-0000-000001000000}">
      <formula1>"100us,30ms"</formula1>
    </dataValidation>
    <dataValidation type="list" allowBlank="1" showInputMessage="1" showErrorMessage="1" sqref="I3:K3" xr:uid="{00000000-0002-0000-0000-000002000000}">
      <formula1>"Push-Button Mode,Slide-Switch Mode"</formula1>
    </dataValidation>
    <dataValidation type="list" allowBlank="1" showInputMessage="1" showErrorMessage="1" sqref="L3:N3" xr:uid="{00000000-0002-0000-0000-000003000000}">
      <formula1>"On/Off Controller,Always On"</formula1>
    </dataValidation>
    <dataValidation type="list" allowBlank="1" showInputMessage="1" showErrorMessage="1" sqref="O3:Q3" xr:uid="{00000000-0002-0000-0000-000004000000}">
      <formula1>"Enabled,Disabled"</formula1>
    </dataValidation>
    <dataValidation type="list" allowBlank="1" showInputMessage="1" showErrorMessage="1" sqref="D7:Q7 D5:Q5" xr:uid="{00000000-0002-0000-0000-000005000000}">
      <formula1>"Mask,Unmask"</formula1>
    </dataValidation>
    <dataValidation type="list" allowBlank="1" showInputMessage="1" showErrorMessage="1" sqref="B9:E9" xr:uid="{00000000-0002-0000-0000-000006000000}">
      <formula1>"Output,Input"</formula1>
    </dataValidation>
    <dataValidation type="list" allowBlank="1" showInputMessage="1" showErrorMessage="1" sqref="F9:I9" xr:uid="{00000000-0002-0000-0000-000007000000}">
      <formula1>"Open-Drain,Push-Pull"</formula1>
    </dataValidation>
    <dataValidation type="list" allowBlank="1" showInputMessage="1" showErrorMessage="1" sqref="J9:M9" xr:uid="{00000000-0002-0000-0000-000008000000}">
      <formula1>"Logic Low,Logic High"</formula1>
    </dataValidation>
    <dataValidation type="list" allowBlank="1" showInputMessage="1" showErrorMessage="1" sqref="N9:Q9" xr:uid="{00000000-0002-0000-0000-000009000000}">
      <formula1>"0 ms(No Debounce),30ms"</formula1>
    </dataValidation>
    <dataValidation type="list" allowBlank="1" showInputMessage="1" showErrorMessage="1" sqref="D11:F11 M27:Q27 O23:Q25 L28:Q29 D19:F19" xr:uid="{00000000-0002-0000-0000-00000A000000}">
      <formula1>"Enable,Disable"</formula1>
    </dataValidation>
    <dataValidation type="list" allowBlank="1" showInputMessage="1" showErrorMessage="1" sqref="G11:J11" xr:uid="{00000000-0002-0000-0000-00000B000000}">
      <formula1>"10%,20%"</formula1>
    </dataValidation>
    <dataValidation type="list" allowBlank="1" showInputMessage="1" showErrorMessage="1" sqref="G15:I15" xr:uid="{00000000-0002-0000-0000-00000C000000}">
      <formula1>"0min,5min,10min,15min,20min,25min,30min,35min"</formula1>
    </dataValidation>
    <dataValidation type="list" allowBlank="1" showInputMessage="1" showErrorMessage="1" sqref="M15:O15" xr:uid="{00000000-0002-0000-0000-00000D000000}">
      <formula1>"4.0V,4.1V,4.2V,4.3V,4.4V,4.5V,4.6V,4.7V"</formula1>
    </dataValidation>
    <dataValidation type="list" allowBlank="1" showInputMessage="1" showErrorMessage="1" sqref="D15:F15" xr:uid="{00000000-0002-0000-0000-00000E000000}">
      <formula1>"5.0% of IFAST_CHG,7.5% of IFAST_CHG,10.0% of IFAST_CHG,15.0% of IFAST_CHG"</formula1>
    </dataValidation>
    <dataValidation type="list" allowBlank="1" showInputMessage="1" showErrorMessage="1" sqref="D17:F17" xr:uid="{00000000-0002-0000-0000-000010000000}">
      <formula1>"60°C,70°C,80°C,90°C,100°C"</formula1>
    </dataValidation>
    <dataValidation type="list" allowBlank="1" showInputMessage="1" showErrorMessage="1" sqref="G17:J17" xr:uid="{00000000-0002-0000-0000-000012000000}">
      <formula1>"CHGIN Not Suspended,CHGIN Suspended"</formula1>
    </dataValidation>
    <dataValidation type="list" allowBlank="1" showInputMessage="1" showErrorMessage="1" sqref="O17:Q17" xr:uid="{00000000-0002-0000-0000-000013000000}">
      <formula1>"OFF,VCHGIN,ICHGIN,VBATT,IBATT_CHG,IBATT_DIS,VNULL,VTHM,VTBIAS,VAGND,VSYS"</formula1>
    </dataValidation>
    <dataValidation type="list" allowBlank="1" showInputMessage="1" showErrorMessage="1" sqref="G27:L27 K23:N25" xr:uid="{00000000-0002-0000-0000-000018000000}">
      <formula1>"FPS Slot 0,FPS Slot 1,FPS Slot 2,FPS Slot 3,Off,On"</formula1>
    </dataValidation>
    <dataValidation type="list" allowBlank="1" showInputMessage="1" showErrorMessage="1" sqref="D21" xr:uid="{00000000-0002-0000-0000-000019000000}">
      <formula1>"0x0=Fastest Transition Time,0x1=Slower Than 0x0,0x2=Slower Than 0x1,0x3=Slower Than 0x2"</formula1>
    </dataValidation>
    <dataValidation type="list" allowBlank="1" showInputMessage="1" showErrorMessage="1" sqref="G23:J25" xr:uid="{00000000-0002-0000-0000-00001A000000}">
      <formula1>"1.000A,0.866A,0.707A,0.500A"</formula1>
    </dataValidation>
    <dataValidation type="list" allowBlank="1" showInputMessage="1" showErrorMessage="1" sqref="G31:I33" xr:uid="{00000000-0002-0000-0000-00001B000000}">
      <formula1>"In-Phase Operation,Inverted-Phase Operation"</formula1>
    </dataValidation>
    <dataValidation type="list" allowBlank="1" showInputMessage="1" showErrorMessage="1" sqref="J31:L33" xr:uid="{00000000-0002-0000-0000-00001C000000}">
      <formula1>"Disabled,3.2mA,6.4mA,12.8mA"</formula1>
    </dataValidation>
    <dataValidation type="list" allowBlank="1" showInputMessage="1" showErrorMessage="1" sqref="M31:O33" xr:uid="{00000000-0002-0000-0000-00001D000000}">
      <formula1>"6.25%,12.50%,18.75%,25.00%,31.25%,37.50%,43.75%,50.00%,56.25%,62.50%,68.75%,75.00%,81.25%,87.50%,93.75%,100.00%"</formula1>
    </dataValidation>
    <dataValidation type="list" allowBlank="1" showInputMessage="1" showErrorMessage="1" sqref="P31:Q33" xr:uid="{00000000-0002-0000-0000-00001E000000}">
      <formula1>"0.5s,1.0s,1.5s,2.0s,2.5s,3.0s,3.5s,4.0s,4.5s,5.0s,5.5s,6.0s,6.5s,7.0s,7.5s,8.0s"</formula1>
    </dataValidation>
    <dataValidation type="list" allowBlank="1" showInputMessage="1" showErrorMessage="1" sqref="K17:N17" xr:uid="{00000000-0002-0000-0000-00001F000000}">
      <formula1>"8.2mA,40.5mA,72.3mA,103.4mA,134.1mA,164.1mA,193.7mA,222.7mA,251.2mA,279.3mA,300.0mA"</formula1>
    </dataValidation>
    <dataValidation type="list" allowBlank="1" showInputMessage="1" showErrorMessage="1" sqref="K11:N11" xr:uid="{76637CF5-7F81-4BF8-BBAC-B92F3644075C}">
      <formula1>"2.3V,2.4V,2.5V,2.6V,2.7V,2.8V,2.9V,3.0V"</formula1>
    </dataValidation>
    <dataValidation type="list" allowBlank="1" showInputMessage="1" showErrorMessage="1" sqref="O11:Q11" xr:uid="{70EEF37F-7773-4808-8A29-903065D4BFED}">
      <formula1>"Timer disabled,3 hours,5 hours,7 hours"</formula1>
    </dataValidation>
    <dataValidation allowBlank="1" showDropDown="1" showInputMessage="1" showErrorMessage="1" sqref="D13:F13 K13:N13 P15:Q15" xr:uid="{D848B9C7-8E9C-4A2B-A24D-C3AB89949174}"/>
    <dataValidation type="list" allowBlank="1" showInputMessage="1" showErrorMessage="1" sqref="J15:L15" xr:uid="{225A726E-2247-4EA8-8D57-985D77C93088}">
      <formula1>"0x0=95mA(ICHGIN_LIM_DEF=0)|475mA(ICHGIN_LIM_DEF=1),0x1=190mA(ICHGIN_LIM_DEF=0),0x2=285mA(ICHGIN_LIM_DEF=0),0x3=380mA(ICHGIN_LIM_DEF=0),0x4=475mA(ICHGIN_LIM_DEF=0)|95mA(ICHGIN_LIM_DEF=1)"</formula1>
    </dataValidation>
  </dataValidations>
  <pageMargins left="0.7" right="0.7" top="0.75" bottom="0.75" header="0.3" footer="0.3"/>
  <pageSetup paperSize="9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">
                <anchor moveWithCells="1" sizeWithCells="1">
                  <from>
                    <xdr:col>12</xdr:col>
                    <xdr:colOff>184150</xdr:colOff>
                    <xdr:row>33</xdr:row>
                    <xdr:rowOff>165100</xdr:rowOff>
                  </from>
                  <to>
                    <xdr:col>15</xdr:col>
                    <xdr:colOff>184150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XT">
                <anchor moveWithCells="1" sizeWithCells="1">
                  <from>
                    <xdr:col>15</xdr:col>
                    <xdr:colOff>704850</xdr:colOff>
                    <xdr:row>33</xdr:row>
                    <xdr:rowOff>184150</xdr:rowOff>
                  </from>
                  <to>
                    <xdr:col>17</xdr:col>
                    <xdr:colOff>762000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set">
                <anchor moveWithCells="1" sizeWithCells="1">
                  <from>
                    <xdr:col>18</xdr:col>
                    <xdr:colOff>152400</xdr:colOff>
                    <xdr:row>33</xdr:row>
                    <xdr:rowOff>184150</xdr:rowOff>
                  </from>
                  <to>
                    <xdr:col>19</xdr:col>
                    <xdr:colOff>361950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14000000}">
          <x14:formula1>
            <xm:f>Sheet2!$B$11:$B$14</xm:f>
          </x14:formula1>
          <xm:sqref>G19:I19</xm:sqref>
        </x14:dataValidation>
        <x14:dataValidation type="list" allowBlank="1" showInputMessage="1" showErrorMessage="1" xr:uid="{00000000-0002-0000-0000-000015000000}">
          <x14:formula1>
            <xm:f>Sheet2!$B$17:$B$20</xm:f>
          </x14:formula1>
          <xm:sqref>J19:L19</xm:sqref>
        </x14:dataValidation>
        <x14:dataValidation type="list" allowBlank="1" showInputMessage="1" showErrorMessage="1" xr:uid="{00000000-0002-0000-0000-000016000000}">
          <x14:formula1>
            <xm:f>Sheet2!$B$23:$B$26</xm:f>
          </x14:formula1>
          <xm:sqref>M19:O19</xm:sqref>
        </x14:dataValidation>
        <x14:dataValidation type="list" allowBlank="1" showInputMessage="1" showErrorMessage="1" xr:uid="{00000000-0002-0000-0000-000017000000}">
          <x14:formula1>
            <xm:f>Sheet2!$B$29:$B$32</xm:f>
          </x14:formula1>
          <xm:sqref>P19:Q19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B32"/>
  <sheetViews>
    <sheetView workbookViewId="0">
      <selection activeCell="B14" sqref="B14"/>
    </sheetView>
  </sheetViews>
  <sheetFormatPr defaultRowHeight="14.5"/>
  <cols>
    <col min="2" max="2" width="52.81640625" customWidth="1"/>
  </cols>
  <sheetData>
    <row r="1" spans="2:2">
      <c r="B1" t="s">
        <v>77</v>
      </c>
    </row>
    <row r="2" spans="2:2">
      <c r="B2" t="s">
        <v>72</v>
      </c>
    </row>
    <row r="3" spans="2:2">
      <c r="B3" t="s">
        <v>73</v>
      </c>
    </row>
    <row r="4" spans="2:2">
      <c r="B4" t="s">
        <v>74</v>
      </c>
    </row>
    <row r="5" spans="2:2">
      <c r="B5" t="s">
        <v>75</v>
      </c>
    </row>
    <row r="6" spans="2:2">
      <c r="B6" t="s">
        <v>76</v>
      </c>
    </row>
    <row r="10" spans="2:2">
      <c r="B10" t="s">
        <v>180</v>
      </c>
    </row>
    <row r="11" spans="2:2">
      <c r="B11" t="s">
        <v>181</v>
      </c>
    </row>
    <row r="12" spans="2:2">
      <c r="B12" t="s">
        <v>182</v>
      </c>
    </row>
    <row r="13" spans="2:2">
      <c r="B13" t="s">
        <v>183</v>
      </c>
    </row>
    <row r="14" spans="2:2">
      <c r="B14" t="s">
        <v>164</v>
      </c>
    </row>
    <row r="16" spans="2:2">
      <c r="B16" t="s">
        <v>184</v>
      </c>
    </row>
    <row r="17" spans="2:2">
      <c r="B17" t="s">
        <v>183</v>
      </c>
    </row>
    <row r="18" spans="2:2">
      <c r="B18" t="s">
        <v>164</v>
      </c>
    </row>
    <row r="19" spans="2:2">
      <c r="B19" t="s">
        <v>185</v>
      </c>
    </row>
    <row r="20" spans="2:2">
      <c r="B20" t="s">
        <v>165</v>
      </c>
    </row>
    <row r="22" spans="2:2">
      <c r="B22" t="s">
        <v>186</v>
      </c>
    </row>
    <row r="23" spans="2:2">
      <c r="B23" t="s">
        <v>162</v>
      </c>
    </row>
    <row r="24" spans="2:2">
      <c r="B24" t="s">
        <v>179</v>
      </c>
    </row>
    <row r="25" spans="2:2">
      <c r="B25" t="s">
        <v>166</v>
      </c>
    </row>
    <row r="26" spans="2:2">
      <c r="B26" t="s">
        <v>188</v>
      </c>
    </row>
    <row r="28" spans="2:2">
      <c r="B28" t="s">
        <v>187</v>
      </c>
    </row>
    <row r="29" spans="2:2">
      <c r="B29" t="s">
        <v>166</v>
      </c>
    </row>
    <row r="30" spans="2:2">
      <c r="B30" t="s">
        <v>188</v>
      </c>
    </row>
    <row r="31" spans="2:2">
      <c r="B31" t="s">
        <v>189</v>
      </c>
    </row>
    <row r="32" spans="2:2">
      <c r="B32" t="s">
        <v>190</v>
      </c>
    </row>
  </sheetData>
  <sheetProtection sheet="1" objects="1" scenarios="1"/>
  <phoneticPr fontId="1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4C304306947647AC1DD6E939CE4796" ma:contentTypeVersion="12" ma:contentTypeDescription="Create a new document." ma:contentTypeScope="" ma:versionID="7e0ceb609f5ab5386d30013843898547">
  <xsd:schema xmlns:xsd="http://www.w3.org/2001/XMLSchema" xmlns:xs="http://www.w3.org/2001/XMLSchema" xmlns:p="http://schemas.microsoft.com/office/2006/metadata/properties" xmlns:ns2="92ce6232-8684-49e7-81cb-ecb0055756af" xmlns:ns3="3bfe3956-80a1-4332-80e7-9aa2e6458d30" xmlns:ns4="http://schemas.microsoft.com/sharepoint/v4" targetNamespace="http://schemas.microsoft.com/office/2006/metadata/properties" ma:root="true" ma:fieldsID="b4aee7cfd2fca0a868284560e1c08439" ns2:_="" ns3:_="" ns4:_="">
    <xsd:import namespace="92ce6232-8684-49e7-81cb-ecb0055756af"/>
    <xsd:import namespace="3bfe3956-80a1-4332-80e7-9aa2e6458d30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4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ce6232-8684-49e7-81cb-ecb0055756a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fe3956-80a1-4332-80e7-9aa2e6458d30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Props1.xml><?xml version="1.0" encoding="utf-8"?>
<ds:datastoreItem xmlns:ds="http://schemas.openxmlformats.org/officeDocument/2006/customXml" ds:itemID="{E6E8BAA8-56F8-4EC6-8B38-ACA89A18B6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2ce6232-8684-49e7-81cb-ecb0055756af"/>
    <ds:schemaRef ds:uri="3bfe3956-80a1-4332-80e7-9aa2e6458d30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0B3778-182A-4D51-B06F-4B05C6F9078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24A3527-DBAC-4654-A289-A6846344A62A}">
  <ds:schemaRefs>
    <ds:schemaRef ds:uri="http://www.w3.org/XML/1998/namespace"/>
    <ds:schemaRef ds:uri="http://purl.org/dc/dcmitype/"/>
    <ds:schemaRef ds:uri="http://purl.org/dc/elements/1.1/"/>
    <ds:schemaRef ds:uri="3bfe3956-80a1-4332-80e7-9aa2e6458d30"/>
    <ds:schemaRef ds:uri="92ce6232-8684-49e7-81cb-ecb0055756af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sharepoint/v4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ICHGIN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2019-03-11T18:02:31Z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0x0101008D4C304306947647AC1DD6E939CE4796</vt:lpwstr>
  </property>
</Properties>
</file>